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55a080083d8c37d/Desktop/urban-company-service-ops/"/>
    </mc:Choice>
  </mc:AlternateContent>
  <xr:revisionPtr revIDLastSave="235" documentId="11_606B238F8A8C3D5329C68FCF428E6406EF2EEEBA" xr6:coauthVersionLast="47" xr6:coauthVersionMax="47" xr10:uidLastSave="{1434065F-B57D-49FB-9371-0B77ADEB4F2B}"/>
  <bookViews>
    <workbookView xWindow="-108" yWindow="-108" windowWidth="23256" windowHeight="12456" activeTab="3" xr2:uid="{00000000-000D-0000-FFFF-FFFF00000000}"/>
  </bookViews>
  <sheets>
    <sheet name="City-Category Data" sheetId="1" r:id="rId1"/>
    <sheet name="Category Reference" sheetId="4" r:id="rId2"/>
    <sheet name="Pivot Revenue" sheetId="5" r:id="rId3"/>
    <sheet name="KPI Summary" sheetId="2" r:id="rId4"/>
  </sheets>
  <calcPr calcId="191029"/>
  <pivotCaches>
    <pivotCache cacheId="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E8" i="2"/>
  <c r="D3" i="2"/>
  <c r="D4" i="2"/>
  <c r="D5" i="2"/>
  <c r="D6" i="2"/>
  <c r="D7" i="2"/>
  <c r="D2" i="2"/>
  <c r="C3" i="2"/>
  <c r="C4" i="2"/>
  <c r="C5" i="2"/>
  <c r="C6" i="2"/>
  <c r="C7" i="2"/>
  <c r="C2" i="2"/>
  <c r="B3" i="2"/>
  <c r="F3" i="2" s="1"/>
  <c r="B4" i="2"/>
  <c r="F4" i="2" s="1"/>
  <c r="B5" i="2"/>
  <c r="F5" i="2" s="1"/>
  <c r="B6" i="2"/>
  <c r="F6" i="2" s="1"/>
  <c r="B7" i="2"/>
  <c r="F7" i="2" s="1"/>
  <c r="B2" i="2"/>
  <c r="F2" i="2" s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" i="1"/>
  <c r="G2" i="1"/>
  <c r="C8" i="2" l="1"/>
  <c r="B8" i="2"/>
</calcChain>
</file>

<file path=xl/sharedStrings.xml><?xml version="1.0" encoding="utf-8"?>
<sst xmlns="http://schemas.openxmlformats.org/spreadsheetml/2006/main" count="99" uniqueCount="28">
  <si>
    <t>Bengaluru</t>
  </si>
  <si>
    <t>AC Repair &amp; Service</t>
  </si>
  <si>
    <t>Deep Home Cleaning</t>
  </si>
  <si>
    <t>Electrical Repair</t>
  </si>
  <si>
    <t>Salon for Men</t>
  </si>
  <si>
    <t>Salon for Women</t>
  </si>
  <si>
    <t>Chennai</t>
  </si>
  <si>
    <t>Plumbing</t>
  </si>
  <si>
    <t>Delhi NCR</t>
  </si>
  <si>
    <t>Hyderabad</t>
  </si>
  <si>
    <t>Mumbai</t>
  </si>
  <si>
    <t>Pune</t>
  </si>
  <si>
    <t>City</t>
  </si>
  <si>
    <t>Category</t>
  </si>
  <si>
    <t>Min_Price</t>
  </si>
  <si>
    <t>Max_Price</t>
  </si>
  <si>
    <t>Row Labels</t>
  </si>
  <si>
    <t>Grand Total</t>
  </si>
  <si>
    <t>Column Labels</t>
  </si>
  <si>
    <t>Sum of revenue_inr</t>
  </si>
  <si>
    <t>Total Revenue</t>
  </si>
  <si>
    <t>Total SLA Breaches</t>
  </si>
  <si>
    <t>Booking Count</t>
  </si>
  <si>
    <t>Reconciliation</t>
  </si>
  <si>
    <t>Expected Revenue</t>
  </si>
  <si>
    <t>Bookings_Count</t>
  </si>
  <si>
    <t>Revenue_Inr</t>
  </si>
  <si>
    <t>SLA_Breaches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</si>
</sst>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3" fontId="3" fillId="0" borderId="0" xfId="0" applyNumberFormat="1" applyFont="1" applyAlignment="1">
      <alignment horizontal="right" vertical="center" wrapText="1"/>
    </xf>
    <xf numFmtId="0" fontId="2" fillId="0" borderId="1" xfId="1"/>
    <xf numFmtId="0" fontId="1" fillId="3" borderId="0" xfId="3"/>
    <xf numFmtId="0" fontId="1" fillId="3" borderId="0" xfId="3" applyNumberFormat="1"/>
    <xf numFmtId="0" fontId="4" fillId="2" borderId="0" xfId="2"/>
    <xf numFmtId="0" fontId="2" fillId="0" borderId="1" xfId="1" applyFont="1" applyBorder="1"/>
    <xf numFmtId="0" fontId="1" fillId="3" borderId="0" xfId="3" applyFont="1" applyFill="1"/>
    <xf numFmtId="0" fontId="2" fillId="4" borderId="1" xfId="1" applyFont="1" applyFill="1" applyBorder="1"/>
    <xf numFmtId="0" fontId="4" fillId="2" borderId="0" xfId="2" applyFont="1" applyFill="1"/>
  </cellXfs>
  <cellStyles count="4">
    <cellStyle name="40% - Accent1" xfId="3" builtinId="31"/>
    <cellStyle name="Accent1" xfId="2" builtinId="29"/>
    <cellStyle name="Heading 2" xfId="1" builtinId="17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3"/>
        <name val="Calibri"/>
        <family val="2"/>
        <scheme val="minor"/>
      </font>
      <border diagonalUp="0" diagonalDown="0" outline="0">
        <left/>
        <right/>
        <top/>
        <bottom style="thick">
          <color theme="4" tint="0.499984740745262"/>
        </bottom>
      </border>
    </dxf>
    <dxf>
      <border outline="0">
        <bottom style="thick">
          <color theme="4" tint="0.499984740745262"/>
        </bottom>
      </border>
    </dxf>
    <dxf>
      <border outline="0">
        <bottom style="thick">
          <color theme="4" tint="0.49998474074526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  <bottom style="thin">
          <color theme="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ashree Totaganti" refreshedDate="46298.003378125002" createdVersion="8" refreshedVersion="8" minRefreshableVersion="3" recordCount="27" xr:uid="{C5BF7C96-835A-47FD-9E80-F260EC39F51A}">
  <cacheSource type="worksheet">
    <worksheetSource ref="A1:G28" sheet="City-Category Data"/>
  </cacheSource>
  <cacheFields count="7">
    <cacheField name="city" numFmtId="0">
      <sharedItems count="6">
        <s v="Bengaluru"/>
        <s v="Chennai"/>
        <s v="Delhi NCR"/>
        <s v="Hyderabad"/>
        <s v="Mumbai"/>
        <s v="Pune"/>
      </sharedItems>
    </cacheField>
    <cacheField name="category" numFmtId="0">
      <sharedItems count="6">
        <s v="AC Repair &amp; Service"/>
        <s v="Deep Home Cleaning"/>
        <s v="Electrical Repair"/>
        <s v="Salon for Men"/>
        <s v="Salon for Women"/>
        <s v="Plumbing"/>
      </sharedItems>
    </cacheField>
    <cacheField name="bookings_count" numFmtId="0">
      <sharedItems containsSemiMixedTypes="0" containsString="0" containsNumber="1" containsInteger="1" minValue="6" maxValue="63"/>
    </cacheField>
    <cacheField name="revenue_inr" numFmtId="0">
      <sharedItems containsSemiMixedTypes="0" containsString="0" containsNumber="1" containsInteger="1" minValue="11360" maxValue="121469"/>
    </cacheField>
    <cacheField name="sla_breaches" numFmtId="0">
      <sharedItems containsSemiMixedTypes="0" containsString="0" containsNumber="1" containsInteger="1" minValue="0" maxValue="9"/>
    </cacheField>
    <cacheField name="Min_Price" numFmtId="0">
      <sharedItems containsSemiMixedTypes="0" containsString="0" containsNumber="1" containsInteger="1" minValue="199" maxValue="999"/>
    </cacheField>
    <cacheField name="Max_Price" numFmtId="0">
      <sharedItems containsSemiMixedTypes="0" containsString="0" containsNumber="1" containsInteger="1" minValue="1499" maxValue="4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40"/>
    <n v="61229"/>
    <n v="7"/>
    <n v="499"/>
    <n v="2499"/>
  </r>
  <r>
    <x v="0"/>
    <x v="1"/>
    <n v="18"/>
    <n v="49592"/>
    <n v="2"/>
    <n v="999"/>
    <n v="4999"/>
  </r>
  <r>
    <x v="0"/>
    <x v="2"/>
    <n v="19"/>
    <n v="23082"/>
    <n v="3"/>
    <n v="199"/>
    <n v="1999"/>
  </r>
  <r>
    <x v="0"/>
    <x v="3"/>
    <n v="14"/>
    <n v="13565"/>
    <n v="3"/>
    <n v="349"/>
    <n v="1499"/>
  </r>
  <r>
    <x v="0"/>
    <x v="4"/>
    <n v="16"/>
    <n v="32367"/>
    <n v="2"/>
    <n v="699"/>
    <n v="3499"/>
  </r>
  <r>
    <x v="1"/>
    <x v="1"/>
    <n v="37"/>
    <n v="109499"/>
    <n v="5"/>
    <n v="999"/>
    <n v="4999"/>
  </r>
  <r>
    <x v="1"/>
    <x v="2"/>
    <n v="13"/>
    <n v="13044"/>
    <n v="1"/>
    <n v="199"/>
    <n v="1999"/>
  </r>
  <r>
    <x v="1"/>
    <x v="5"/>
    <n v="63"/>
    <n v="53029"/>
    <n v="9"/>
    <n v="199"/>
    <n v="1499"/>
  </r>
  <r>
    <x v="2"/>
    <x v="0"/>
    <n v="14"/>
    <n v="22760"/>
    <n v="0"/>
    <n v="499"/>
    <n v="2499"/>
  </r>
  <r>
    <x v="2"/>
    <x v="1"/>
    <n v="25"/>
    <n v="63041"/>
    <n v="0"/>
    <n v="999"/>
    <n v="4999"/>
  </r>
  <r>
    <x v="2"/>
    <x v="2"/>
    <n v="12"/>
    <n v="12585"/>
    <n v="1"/>
    <n v="199"/>
    <n v="1999"/>
  </r>
  <r>
    <x v="2"/>
    <x v="5"/>
    <n v="19"/>
    <n v="16065"/>
    <n v="3"/>
    <n v="199"/>
    <n v="1499"/>
  </r>
  <r>
    <x v="2"/>
    <x v="4"/>
    <n v="13"/>
    <n v="26320"/>
    <n v="2"/>
    <n v="699"/>
    <n v="3499"/>
  </r>
  <r>
    <x v="3"/>
    <x v="1"/>
    <n v="29"/>
    <n v="91425"/>
    <n v="4"/>
    <n v="999"/>
    <n v="4999"/>
  </r>
  <r>
    <x v="3"/>
    <x v="2"/>
    <n v="27"/>
    <n v="29032"/>
    <n v="3"/>
    <n v="199"/>
    <n v="1999"/>
  </r>
  <r>
    <x v="3"/>
    <x v="5"/>
    <n v="13"/>
    <n v="11743"/>
    <n v="1"/>
    <n v="199"/>
    <n v="1499"/>
  </r>
  <r>
    <x v="3"/>
    <x v="3"/>
    <n v="23"/>
    <n v="22289"/>
    <n v="5"/>
    <n v="349"/>
    <n v="1499"/>
  </r>
  <r>
    <x v="3"/>
    <x v="4"/>
    <n v="6"/>
    <n v="17149"/>
    <n v="1"/>
    <n v="699"/>
    <n v="3499"/>
  </r>
  <r>
    <x v="4"/>
    <x v="0"/>
    <n v="20"/>
    <n v="29050"/>
    <n v="4"/>
    <n v="499"/>
    <n v="2499"/>
  </r>
  <r>
    <x v="4"/>
    <x v="1"/>
    <n v="28"/>
    <n v="73938"/>
    <n v="1"/>
    <n v="999"/>
    <n v="4999"/>
  </r>
  <r>
    <x v="4"/>
    <x v="2"/>
    <n v="11"/>
    <n v="11360"/>
    <n v="2"/>
    <n v="199"/>
    <n v="1999"/>
  </r>
  <r>
    <x v="4"/>
    <x v="3"/>
    <n v="27"/>
    <n v="23901"/>
    <n v="5"/>
    <n v="349"/>
    <n v="1499"/>
  </r>
  <r>
    <x v="4"/>
    <x v="4"/>
    <n v="6"/>
    <n v="13181"/>
    <n v="1"/>
    <n v="699"/>
    <n v="3499"/>
  </r>
  <r>
    <x v="5"/>
    <x v="1"/>
    <n v="39"/>
    <n v="121469"/>
    <n v="9"/>
    <n v="999"/>
    <n v="4999"/>
  </r>
  <r>
    <x v="5"/>
    <x v="2"/>
    <n v="30"/>
    <n v="30778"/>
    <n v="3"/>
    <n v="199"/>
    <n v="1999"/>
  </r>
  <r>
    <x v="5"/>
    <x v="3"/>
    <n v="14"/>
    <n v="13808"/>
    <n v="1"/>
    <n v="349"/>
    <n v="1499"/>
  </r>
  <r>
    <x v="5"/>
    <x v="4"/>
    <n v="24"/>
    <n v="62672"/>
    <n v="1"/>
    <n v="699"/>
    <n v="3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21E5F-0BF5-41CE-947E-3710DA6FCCC7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1" firstHeaderRow="1" firstDataRow="2" firstDataCol="1"/>
  <pivotFields count="7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Col" showAll="0">
      <items count="7">
        <item x="0"/>
        <item x="1"/>
        <item x="2"/>
        <item x="5"/>
        <item x="3"/>
        <item x="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revenue_inr" fld="3" baseField="0" baseItem="0"/>
  </dataFields>
  <formats count="15">
    <format dxfId="16">
      <pivotArea field="0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Col="1" outline="0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Col="1" outline="0" fieldPosition="0"/>
    </format>
    <format dxfId="10">
      <pivotArea field="0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Col="1" outline="0" fieldPosition="0"/>
    </format>
    <format dxfId="7">
      <pivotArea type="origin" dataOnly="0" labelOnly="1" outline="0" fieldPosition="0"/>
    </format>
    <format dxfId="6">
      <pivotArea field="1" type="button" dataOnly="0" labelOnly="1" outline="0" axis="axisCol" fieldPosition="0"/>
    </format>
    <format dxfId="5">
      <pivotArea collapsedLevelsAreSubtotals="1" fieldPosition="0">
        <references count="1">
          <reference field="0" count="0"/>
        </references>
      </pivotArea>
    </format>
    <format dxfId="3">
      <pivotArea dataOnly="0" labelOnly="1" fieldPosition="0">
        <references count="1">
          <reference field="0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Medium23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E7D67C-9C4C-41B8-BA82-8A40E0A741EA}" name="Table1" displayName="Table1" ref="A1:G28" totalsRowShown="0" dataDxfId="26" headerRowBorderDxfId="18" headerRowCellStyle="Heading 2">
  <autoFilter ref="A1:G28" xr:uid="{15E7D67C-9C4C-41B8-BA82-8A40E0A741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2AB68001-087F-46EF-962A-C31A843E85E9}" name="City" dataDxfId="25"/>
    <tableColumn id="2" xr3:uid="{4BCCCA56-BC14-4B3E-A405-7B0E5BC2EF12}" name="Category" dataDxfId="24"/>
    <tableColumn id="3" xr3:uid="{2C92D364-1AD4-40D9-B30A-DA0979253DF9}" name="Bookings_Count" dataDxfId="23"/>
    <tableColumn id="4" xr3:uid="{E751A96D-D0E5-4862-BCBF-FA41616667A1}" name="Revenue_Inr" dataDxfId="22"/>
    <tableColumn id="5" xr3:uid="{DBB6ED02-CAEA-4C88-8B11-DCD5AAF96063}" name="SLA_Breaches" dataDxfId="21"/>
    <tableColumn id="6" xr3:uid="{8967F2C7-1D47-4C1B-9602-0CA5DD0B6CFD}" name="Min_Price" dataDxfId="20">
      <calculatedColumnFormula>VLOOKUP(B2,'Category Reference'!$A$2:$C$7,2,FALSE)</calculatedColumnFormula>
    </tableColumn>
    <tableColumn id="7" xr3:uid="{46544517-09B5-4749-BB26-4C37D787375B}" name="Max_Price" dataDxfId="19">
      <calculatedColumnFormula>VLOOKUP(B2,'Category Reference'!$A$2:$C$7,3,FALSE)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42C77A-61CE-470A-8AEE-C1AFB8FD2904}" name="Table2" displayName="Table2" ref="A1:C7" totalsRowShown="0" headerRowBorderDxfId="17" tableBorderDxfId="38" totalsRowBorderDxfId="37" headerRowCellStyle="Heading 2">
  <autoFilter ref="A1:C7" xr:uid="{A942C77A-61CE-470A-8AEE-C1AFB8FD2904}">
    <filterColumn colId="0" hiddenButton="1"/>
    <filterColumn colId="1" hiddenButton="1"/>
    <filterColumn colId="2" hiddenButton="1"/>
  </autoFilter>
  <tableColumns count="3">
    <tableColumn id="1" xr3:uid="{926E6555-7578-44DE-8C05-C6359E7711B4}" name="Category" dataDxfId="36" dataCellStyle="40% - Accent1"/>
    <tableColumn id="2" xr3:uid="{53639167-B693-4145-AA8F-7A96ECF11442}" name="Min_Price" dataDxfId="35" dataCellStyle="40% - Accent1"/>
    <tableColumn id="3" xr3:uid="{9F4FE3C0-AF94-48BA-BBCE-E3FAF10430FE}" name="Max_Price" dataDxfId="34" dataCellStyle="40% - Accent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917A4-3812-4BFE-95CD-EB521E212B72}" name="Table3" displayName="Table3" ref="A1:F8" totalsRowShown="0" dataDxfId="27" headerRowCellStyle="Heading 2">
  <autoFilter ref="A1:F8" xr:uid="{D46917A4-3812-4BFE-95CD-EB521E212B7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A03EA08-99F8-4382-BB86-63B4F89D6C72}" name="City" dataDxfId="33"/>
    <tableColumn id="2" xr3:uid="{1278C976-4CB0-4DB4-A862-95E81DCFFF14}" name="Total Revenue" dataDxfId="32"/>
    <tableColumn id="3" xr3:uid="{08E8748A-125A-4546-B564-FD5E54CB9459}" name="Total SLA Breaches" dataDxfId="31"/>
    <tableColumn id="4" xr3:uid="{04C2A33F-75B1-4196-99BB-716EF6E509B0}" name="Booking Count" dataDxfId="30"/>
    <tableColumn id="5" xr3:uid="{56CA42E7-0E6E-4A6E-9008-BD461B34CA98}" name="Expected Revenue" dataDxfId="29"/>
    <tableColumn id="6" xr3:uid="{664FBED5-4278-4171-A7E0-5EB0E4EDB489}" name="Reconciliation" dataDxfId="2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D6" sqref="D6"/>
    </sheetView>
  </sheetViews>
  <sheetFormatPr defaultRowHeight="14.4" x14ac:dyDescent="0.3"/>
  <cols>
    <col min="1" max="1" width="10.88671875" bestFit="1" customWidth="1"/>
    <col min="2" max="2" width="20.33203125" bestFit="1" customWidth="1"/>
    <col min="3" max="3" width="18.21875" bestFit="1" customWidth="1"/>
    <col min="4" max="4" width="14.5546875" bestFit="1" customWidth="1"/>
    <col min="5" max="5" width="15.88671875" bestFit="1" customWidth="1"/>
    <col min="6" max="6" width="11.77734375" bestFit="1" customWidth="1"/>
    <col min="7" max="7" width="12.21875" bestFit="1" customWidth="1"/>
  </cols>
  <sheetData>
    <row r="1" spans="1:7" ht="18" thickBot="1" x14ac:dyDescent="0.4">
      <c r="A1" s="8" t="s">
        <v>12</v>
      </c>
      <c r="B1" s="8" t="s">
        <v>13</v>
      </c>
      <c r="C1" s="8" t="s">
        <v>25</v>
      </c>
      <c r="D1" s="8" t="s">
        <v>26</v>
      </c>
      <c r="E1" s="8" t="s">
        <v>27</v>
      </c>
      <c r="F1" s="8" t="s">
        <v>14</v>
      </c>
      <c r="G1" s="8" t="s">
        <v>15</v>
      </c>
    </row>
    <row r="2" spans="1:7" ht="15" thickTop="1" x14ac:dyDescent="0.3">
      <c r="A2" s="9" t="s">
        <v>0</v>
      </c>
      <c r="B2" s="9" t="s">
        <v>1</v>
      </c>
      <c r="C2" s="9">
        <v>40</v>
      </c>
      <c r="D2" s="9">
        <v>61229</v>
      </c>
      <c r="E2" s="9">
        <v>7</v>
      </c>
      <c r="F2" s="9">
        <f>VLOOKUP(B2,'Category Reference'!$A$2:$C$7,2,FALSE)</f>
        <v>499</v>
      </c>
      <c r="G2" s="9">
        <f>VLOOKUP(B2,'Category Reference'!$A$2:$C$7,3,FALSE)</f>
        <v>2499</v>
      </c>
    </row>
    <row r="3" spans="1:7" x14ac:dyDescent="0.3">
      <c r="A3" s="9" t="s">
        <v>0</v>
      </c>
      <c r="B3" s="9" t="s">
        <v>2</v>
      </c>
      <c r="C3" s="9">
        <v>18</v>
      </c>
      <c r="D3" s="9">
        <v>49592</v>
      </c>
      <c r="E3" s="9">
        <v>2</v>
      </c>
      <c r="F3" s="9">
        <f>VLOOKUP(B3,'Category Reference'!$A$2:$C$7,2,FALSE)</f>
        <v>999</v>
      </c>
      <c r="G3" s="9">
        <f>VLOOKUP(B3,'Category Reference'!$A$2:$C$7,3,FALSE)</f>
        <v>4999</v>
      </c>
    </row>
    <row r="4" spans="1:7" x14ac:dyDescent="0.3">
      <c r="A4" s="9" t="s">
        <v>0</v>
      </c>
      <c r="B4" s="9" t="s">
        <v>3</v>
      </c>
      <c r="C4" s="9">
        <v>19</v>
      </c>
      <c r="D4" s="9">
        <v>23082</v>
      </c>
      <c r="E4" s="9">
        <v>3</v>
      </c>
      <c r="F4" s="9">
        <f>VLOOKUP(B4,'Category Reference'!$A$2:$C$7,2,FALSE)</f>
        <v>199</v>
      </c>
      <c r="G4" s="9">
        <f>VLOOKUP(B4,'Category Reference'!$A$2:$C$7,3,FALSE)</f>
        <v>1999</v>
      </c>
    </row>
    <row r="5" spans="1:7" x14ac:dyDescent="0.3">
      <c r="A5" s="9" t="s">
        <v>0</v>
      </c>
      <c r="B5" s="9" t="s">
        <v>4</v>
      </c>
      <c r="C5" s="9">
        <v>14</v>
      </c>
      <c r="D5" s="9">
        <v>13565</v>
      </c>
      <c r="E5" s="9">
        <v>3</v>
      </c>
      <c r="F5" s="9">
        <f>VLOOKUP(B5,'Category Reference'!$A$2:$C$7,2,FALSE)</f>
        <v>349</v>
      </c>
      <c r="G5" s="9">
        <f>VLOOKUP(B5,'Category Reference'!$A$2:$C$7,3,FALSE)</f>
        <v>1499</v>
      </c>
    </row>
    <row r="6" spans="1:7" x14ac:dyDescent="0.3">
      <c r="A6" s="9" t="s">
        <v>0</v>
      </c>
      <c r="B6" s="9" t="s">
        <v>5</v>
      </c>
      <c r="C6" s="9">
        <v>16</v>
      </c>
      <c r="D6" s="9">
        <v>32367</v>
      </c>
      <c r="E6" s="9">
        <v>2</v>
      </c>
      <c r="F6" s="9">
        <f>VLOOKUP(B6,'Category Reference'!$A$2:$C$7,2,FALSE)</f>
        <v>699</v>
      </c>
      <c r="G6" s="9">
        <f>VLOOKUP(B6,'Category Reference'!$A$2:$C$7,3,FALSE)</f>
        <v>3499</v>
      </c>
    </row>
    <row r="7" spans="1:7" x14ac:dyDescent="0.3">
      <c r="A7" s="9" t="s">
        <v>6</v>
      </c>
      <c r="B7" s="9" t="s">
        <v>2</v>
      </c>
      <c r="C7" s="9">
        <v>37</v>
      </c>
      <c r="D7" s="9">
        <v>109499</v>
      </c>
      <c r="E7" s="9">
        <v>5</v>
      </c>
      <c r="F7" s="9">
        <f>VLOOKUP(B7,'Category Reference'!$A$2:$C$7,2,FALSE)</f>
        <v>999</v>
      </c>
      <c r="G7" s="9">
        <f>VLOOKUP(B7,'Category Reference'!$A$2:$C$7,3,FALSE)</f>
        <v>4999</v>
      </c>
    </row>
    <row r="8" spans="1:7" x14ac:dyDescent="0.3">
      <c r="A8" s="9" t="s">
        <v>6</v>
      </c>
      <c r="B8" s="9" t="s">
        <v>3</v>
      </c>
      <c r="C8" s="9">
        <v>13</v>
      </c>
      <c r="D8" s="9">
        <v>13044</v>
      </c>
      <c r="E8" s="9">
        <v>1</v>
      </c>
      <c r="F8" s="9">
        <f>VLOOKUP(B8,'Category Reference'!$A$2:$C$7,2,FALSE)</f>
        <v>199</v>
      </c>
      <c r="G8" s="9">
        <f>VLOOKUP(B8,'Category Reference'!$A$2:$C$7,3,FALSE)</f>
        <v>1999</v>
      </c>
    </row>
    <row r="9" spans="1:7" x14ac:dyDescent="0.3">
      <c r="A9" s="9" t="s">
        <v>6</v>
      </c>
      <c r="B9" s="9" t="s">
        <v>7</v>
      </c>
      <c r="C9" s="9">
        <v>63</v>
      </c>
      <c r="D9" s="9">
        <v>53029</v>
      </c>
      <c r="E9" s="9">
        <v>9</v>
      </c>
      <c r="F9" s="9">
        <f>VLOOKUP(B9,'Category Reference'!$A$2:$C$7,2,FALSE)</f>
        <v>199</v>
      </c>
      <c r="G9" s="9">
        <f>VLOOKUP(B9,'Category Reference'!$A$2:$C$7,3,FALSE)</f>
        <v>1499</v>
      </c>
    </row>
    <row r="10" spans="1:7" x14ac:dyDescent="0.3">
      <c r="A10" s="9" t="s">
        <v>8</v>
      </c>
      <c r="B10" s="9" t="s">
        <v>1</v>
      </c>
      <c r="C10" s="9">
        <v>14</v>
      </c>
      <c r="D10" s="9">
        <v>22760</v>
      </c>
      <c r="E10" s="9">
        <v>0</v>
      </c>
      <c r="F10" s="9">
        <f>VLOOKUP(B10,'Category Reference'!$A$2:$C$7,2,FALSE)</f>
        <v>499</v>
      </c>
      <c r="G10" s="9">
        <f>VLOOKUP(B10,'Category Reference'!$A$2:$C$7,3,FALSE)</f>
        <v>2499</v>
      </c>
    </row>
    <row r="11" spans="1:7" x14ac:dyDescent="0.3">
      <c r="A11" s="9" t="s">
        <v>8</v>
      </c>
      <c r="B11" s="9" t="s">
        <v>2</v>
      </c>
      <c r="C11" s="9">
        <v>25</v>
      </c>
      <c r="D11" s="9">
        <v>63041</v>
      </c>
      <c r="E11" s="9">
        <v>0</v>
      </c>
      <c r="F11" s="9">
        <f>VLOOKUP(B11,'Category Reference'!$A$2:$C$7,2,FALSE)</f>
        <v>999</v>
      </c>
      <c r="G11" s="9">
        <f>VLOOKUP(B11,'Category Reference'!$A$2:$C$7,3,FALSE)</f>
        <v>4999</v>
      </c>
    </row>
    <row r="12" spans="1:7" x14ac:dyDescent="0.3">
      <c r="A12" s="9" t="s">
        <v>8</v>
      </c>
      <c r="B12" s="9" t="s">
        <v>3</v>
      </c>
      <c r="C12" s="9">
        <v>12</v>
      </c>
      <c r="D12" s="9">
        <v>12585</v>
      </c>
      <c r="E12" s="9">
        <v>1</v>
      </c>
      <c r="F12" s="9">
        <f>VLOOKUP(B12,'Category Reference'!$A$2:$C$7,2,FALSE)</f>
        <v>199</v>
      </c>
      <c r="G12" s="9">
        <f>VLOOKUP(B12,'Category Reference'!$A$2:$C$7,3,FALSE)</f>
        <v>1999</v>
      </c>
    </row>
    <row r="13" spans="1:7" x14ac:dyDescent="0.3">
      <c r="A13" s="9" t="s">
        <v>8</v>
      </c>
      <c r="B13" s="9" t="s">
        <v>7</v>
      </c>
      <c r="C13" s="9">
        <v>19</v>
      </c>
      <c r="D13" s="9">
        <v>16065</v>
      </c>
      <c r="E13" s="9">
        <v>3</v>
      </c>
      <c r="F13" s="9">
        <f>VLOOKUP(B13,'Category Reference'!$A$2:$C$7,2,FALSE)</f>
        <v>199</v>
      </c>
      <c r="G13" s="9">
        <f>VLOOKUP(B13,'Category Reference'!$A$2:$C$7,3,FALSE)</f>
        <v>1499</v>
      </c>
    </row>
    <row r="14" spans="1:7" x14ac:dyDescent="0.3">
      <c r="A14" s="9" t="s">
        <v>8</v>
      </c>
      <c r="B14" s="9" t="s">
        <v>5</v>
      </c>
      <c r="C14" s="9">
        <v>13</v>
      </c>
      <c r="D14" s="9">
        <v>26320</v>
      </c>
      <c r="E14" s="9">
        <v>2</v>
      </c>
      <c r="F14" s="9">
        <f>VLOOKUP(B14,'Category Reference'!$A$2:$C$7,2,FALSE)</f>
        <v>699</v>
      </c>
      <c r="G14" s="9">
        <f>VLOOKUP(B14,'Category Reference'!$A$2:$C$7,3,FALSE)</f>
        <v>3499</v>
      </c>
    </row>
    <row r="15" spans="1:7" x14ac:dyDescent="0.3">
      <c r="A15" s="9" t="s">
        <v>9</v>
      </c>
      <c r="B15" s="9" t="s">
        <v>2</v>
      </c>
      <c r="C15" s="9">
        <v>29</v>
      </c>
      <c r="D15" s="9">
        <v>91425</v>
      </c>
      <c r="E15" s="9">
        <v>4</v>
      </c>
      <c r="F15" s="9">
        <f>VLOOKUP(B15,'Category Reference'!$A$2:$C$7,2,FALSE)</f>
        <v>999</v>
      </c>
      <c r="G15" s="9">
        <f>VLOOKUP(B15,'Category Reference'!$A$2:$C$7,3,FALSE)</f>
        <v>4999</v>
      </c>
    </row>
    <row r="16" spans="1:7" x14ac:dyDescent="0.3">
      <c r="A16" s="9" t="s">
        <v>9</v>
      </c>
      <c r="B16" s="9" t="s">
        <v>3</v>
      </c>
      <c r="C16" s="9">
        <v>27</v>
      </c>
      <c r="D16" s="9">
        <v>29032</v>
      </c>
      <c r="E16" s="9">
        <v>3</v>
      </c>
      <c r="F16" s="9">
        <f>VLOOKUP(B16,'Category Reference'!$A$2:$C$7,2,FALSE)</f>
        <v>199</v>
      </c>
      <c r="G16" s="9">
        <f>VLOOKUP(B16,'Category Reference'!$A$2:$C$7,3,FALSE)</f>
        <v>1999</v>
      </c>
    </row>
    <row r="17" spans="1:7" x14ac:dyDescent="0.3">
      <c r="A17" s="9" t="s">
        <v>9</v>
      </c>
      <c r="B17" s="9" t="s">
        <v>7</v>
      </c>
      <c r="C17" s="9">
        <v>13</v>
      </c>
      <c r="D17" s="9">
        <v>11743</v>
      </c>
      <c r="E17" s="9">
        <v>1</v>
      </c>
      <c r="F17" s="9">
        <f>VLOOKUP(B17,'Category Reference'!$A$2:$C$7,2,FALSE)</f>
        <v>199</v>
      </c>
      <c r="G17" s="9">
        <f>VLOOKUP(B17,'Category Reference'!$A$2:$C$7,3,FALSE)</f>
        <v>1499</v>
      </c>
    </row>
    <row r="18" spans="1:7" x14ac:dyDescent="0.3">
      <c r="A18" s="9" t="s">
        <v>9</v>
      </c>
      <c r="B18" s="9" t="s">
        <v>4</v>
      </c>
      <c r="C18" s="9">
        <v>23</v>
      </c>
      <c r="D18" s="9">
        <v>22289</v>
      </c>
      <c r="E18" s="9">
        <v>5</v>
      </c>
      <c r="F18" s="9">
        <f>VLOOKUP(B18,'Category Reference'!$A$2:$C$7,2,FALSE)</f>
        <v>349</v>
      </c>
      <c r="G18" s="9">
        <f>VLOOKUP(B18,'Category Reference'!$A$2:$C$7,3,FALSE)</f>
        <v>1499</v>
      </c>
    </row>
    <row r="19" spans="1:7" x14ac:dyDescent="0.3">
      <c r="A19" s="9" t="s">
        <v>9</v>
      </c>
      <c r="B19" s="9" t="s">
        <v>5</v>
      </c>
      <c r="C19" s="9">
        <v>6</v>
      </c>
      <c r="D19" s="9">
        <v>17149</v>
      </c>
      <c r="E19" s="9">
        <v>1</v>
      </c>
      <c r="F19" s="9">
        <f>VLOOKUP(B19,'Category Reference'!$A$2:$C$7,2,FALSE)</f>
        <v>699</v>
      </c>
      <c r="G19" s="9">
        <f>VLOOKUP(B19,'Category Reference'!$A$2:$C$7,3,FALSE)</f>
        <v>3499</v>
      </c>
    </row>
    <row r="20" spans="1:7" x14ac:dyDescent="0.3">
      <c r="A20" s="9" t="s">
        <v>10</v>
      </c>
      <c r="B20" s="9" t="s">
        <v>1</v>
      </c>
      <c r="C20" s="9">
        <v>20</v>
      </c>
      <c r="D20" s="9">
        <v>29050</v>
      </c>
      <c r="E20" s="9">
        <v>4</v>
      </c>
      <c r="F20" s="9">
        <f>VLOOKUP(B20,'Category Reference'!$A$2:$C$7,2,FALSE)</f>
        <v>499</v>
      </c>
      <c r="G20" s="9">
        <f>VLOOKUP(B20,'Category Reference'!$A$2:$C$7,3,FALSE)</f>
        <v>2499</v>
      </c>
    </row>
    <row r="21" spans="1:7" x14ac:dyDescent="0.3">
      <c r="A21" s="9" t="s">
        <v>10</v>
      </c>
      <c r="B21" s="9" t="s">
        <v>2</v>
      </c>
      <c r="C21" s="9">
        <v>28</v>
      </c>
      <c r="D21" s="9">
        <v>73938</v>
      </c>
      <c r="E21" s="9">
        <v>1</v>
      </c>
      <c r="F21" s="9">
        <f>VLOOKUP(B21,'Category Reference'!$A$2:$C$7,2,FALSE)</f>
        <v>999</v>
      </c>
      <c r="G21" s="9">
        <f>VLOOKUP(B21,'Category Reference'!$A$2:$C$7,3,FALSE)</f>
        <v>4999</v>
      </c>
    </row>
    <row r="22" spans="1:7" x14ac:dyDescent="0.3">
      <c r="A22" s="9" t="s">
        <v>10</v>
      </c>
      <c r="B22" s="9" t="s">
        <v>3</v>
      </c>
      <c r="C22" s="9">
        <v>11</v>
      </c>
      <c r="D22" s="9">
        <v>11360</v>
      </c>
      <c r="E22" s="9">
        <v>2</v>
      </c>
      <c r="F22" s="9">
        <f>VLOOKUP(B22,'Category Reference'!$A$2:$C$7,2,FALSE)</f>
        <v>199</v>
      </c>
      <c r="G22" s="9">
        <f>VLOOKUP(B22,'Category Reference'!$A$2:$C$7,3,FALSE)</f>
        <v>1999</v>
      </c>
    </row>
    <row r="23" spans="1:7" x14ac:dyDescent="0.3">
      <c r="A23" s="9" t="s">
        <v>10</v>
      </c>
      <c r="B23" s="9" t="s">
        <v>4</v>
      </c>
      <c r="C23" s="9">
        <v>27</v>
      </c>
      <c r="D23" s="9">
        <v>23901</v>
      </c>
      <c r="E23" s="9">
        <v>5</v>
      </c>
      <c r="F23" s="9">
        <f>VLOOKUP(B23,'Category Reference'!$A$2:$C$7,2,FALSE)</f>
        <v>349</v>
      </c>
      <c r="G23" s="9">
        <f>VLOOKUP(B23,'Category Reference'!$A$2:$C$7,3,FALSE)</f>
        <v>1499</v>
      </c>
    </row>
    <row r="24" spans="1:7" x14ac:dyDescent="0.3">
      <c r="A24" s="9" t="s">
        <v>10</v>
      </c>
      <c r="B24" s="9" t="s">
        <v>5</v>
      </c>
      <c r="C24" s="9">
        <v>6</v>
      </c>
      <c r="D24" s="9">
        <v>13181</v>
      </c>
      <c r="E24" s="9">
        <v>1</v>
      </c>
      <c r="F24" s="9">
        <f>VLOOKUP(B24,'Category Reference'!$A$2:$C$7,2,FALSE)</f>
        <v>699</v>
      </c>
      <c r="G24" s="9">
        <f>VLOOKUP(B24,'Category Reference'!$A$2:$C$7,3,FALSE)</f>
        <v>3499</v>
      </c>
    </row>
    <row r="25" spans="1:7" x14ac:dyDescent="0.3">
      <c r="A25" s="9" t="s">
        <v>11</v>
      </c>
      <c r="B25" s="9" t="s">
        <v>2</v>
      </c>
      <c r="C25" s="9">
        <v>39</v>
      </c>
      <c r="D25" s="9">
        <v>121469</v>
      </c>
      <c r="E25" s="9">
        <v>9</v>
      </c>
      <c r="F25" s="9">
        <f>VLOOKUP(B25,'Category Reference'!$A$2:$C$7,2,FALSE)</f>
        <v>999</v>
      </c>
      <c r="G25" s="9">
        <f>VLOOKUP(B25,'Category Reference'!$A$2:$C$7,3,FALSE)</f>
        <v>4999</v>
      </c>
    </row>
    <row r="26" spans="1:7" x14ac:dyDescent="0.3">
      <c r="A26" s="9" t="s">
        <v>11</v>
      </c>
      <c r="B26" s="9" t="s">
        <v>3</v>
      </c>
      <c r="C26" s="9">
        <v>30</v>
      </c>
      <c r="D26" s="9">
        <v>30778</v>
      </c>
      <c r="E26" s="9">
        <v>3</v>
      </c>
      <c r="F26" s="9">
        <f>VLOOKUP(B26,'Category Reference'!$A$2:$C$7,2,FALSE)</f>
        <v>199</v>
      </c>
      <c r="G26" s="9">
        <f>VLOOKUP(B26,'Category Reference'!$A$2:$C$7,3,FALSE)</f>
        <v>1999</v>
      </c>
    </row>
    <row r="27" spans="1:7" x14ac:dyDescent="0.3">
      <c r="A27" s="9" t="s">
        <v>11</v>
      </c>
      <c r="B27" s="9" t="s">
        <v>4</v>
      </c>
      <c r="C27" s="9">
        <v>14</v>
      </c>
      <c r="D27" s="9">
        <v>13808</v>
      </c>
      <c r="E27" s="9">
        <v>1</v>
      </c>
      <c r="F27" s="9">
        <f>VLOOKUP(B27,'Category Reference'!$A$2:$C$7,2,FALSE)</f>
        <v>349</v>
      </c>
      <c r="G27" s="9">
        <f>VLOOKUP(B27,'Category Reference'!$A$2:$C$7,3,FALSE)</f>
        <v>1499</v>
      </c>
    </row>
    <row r="28" spans="1:7" x14ac:dyDescent="0.3">
      <c r="A28" s="9" t="s">
        <v>11</v>
      </c>
      <c r="B28" s="9" t="s">
        <v>5</v>
      </c>
      <c r="C28" s="9">
        <v>24</v>
      </c>
      <c r="D28" s="9">
        <v>62672</v>
      </c>
      <c r="E28" s="9">
        <v>1</v>
      </c>
      <c r="F28" s="9">
        <f>VLOOKUP(B28,'Category Reference'!$A$2:$C$7,2,FALSE)</f>
        <v>699</v>
      </c>
      <c r="G28" s="9">
        <f>VLOOKUP(B28,'Category Reference'!$A$2:$C$7,3,FALSE)</f>
        <v>3499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D42A3-5835-4D26-B047-470D1CEA237B}">
  <dimension ref="A1:C7"/>
  <sheetViews>
    <sheetView workbookViewId="0">
      <selection activeCell="E10" sqref="E10"/>
    </sheetView>
  </sheetViews>
  <sheetFormatPr defaultRowHeight="14.4" x14ac:dyDescent="0.3"/>
  <cols>
    <col min="1" max="1" width="20.33203125" bestFit="1" customWidth="1"/>
    <col min="2" max="2" width="13.6640625" customWidth="1"/>
    <col min="3" max="3" width="14.109375" customWidth="1"/>
  </cols>
  <sheetData>
    <row r="1" spans="1:3" ht="18" thickBot="1" x14ac:dyDescent="0.4">
      <c r="A1" s="8" t="s">
        <v>13</v>
      </c>
      <c r="B1" s="8" t="s">
        <v>14</v>
      </c>
      <c r="C1" s="8" t="s">
        <v>15</v>
      </c>
    </row>
    <row r="2" spans="1:3" ht="15" thickTop="1" x14ac:dyDescent="0.3">
      <c r="A2" s="9" t="s">
        <v>1</v>
      </c>
      <c r="B2" s="9">
        <v>499</v>
      </c>
      <c r="C2" s="9">
        <v>2499</v>
      </c>
    </row>
    <row r="3" spans="1:3" x14ac:dyDescent="0.3">
      <c r="A3" s="9" t="s">
        <v>5</v>
      </c>
      <c r="B3" s="9">
        <v>699</v>
      </c>
      <c r="C3" s="9">
        <v>3499</v>
      </c>
    </row>
    <row r="4" spans="1:3" x14ac:dyDescent="0.3">
      <c r="A4" s="9" t="s">
        <v>4</v>
      </c>
      <c r="B4" s="9">
        <v>349</v>
      </c>
      <c r="C4" s="9">
        <v>1499</v>
      </c>
    </row>
    <row r="5" spans="1:3" x14ac:dyDescent="0.3">
      <c r="A5" s="9" t="s">
        <v>2</v>
      </c>
      <c r="B5" s="9">
        <v>999</v>
      </c>
      <c r="C5" s="9">
        <v>4999</v>
      </c>
    </row>
    <row r="6" spans="1:3" x14ac:dyDescent="0.3">
      <c r="A6" s="9" t="s">
        <v>7</v>
      </c>
      <c r="B6" s="9">
        <v>199</v>
      </c>
      <c r="C6" s="9">
        <v>1499</v>
      </c>
    </row>
    <row r="7" spans="1:3" x14ac:dyDescent="0.3">
      <c r="A7" s="9" t="s">
        <v>3</v>
      </c>
      <c r="B7" s="9">
        <v>199</v>
      </c>
      <c r="C7" s="9">
        <v>1999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2EC2-7491-491A-8748-8DE64741B27D}">
  <dimension ref="A3:H24"/>
  <sheetViews>
    <sheetView workbookViewId="0">
      <selection activeCell="B7" sqref="B7"/>
    </sheetView>
  </sheetViews>
  <sheetFormatPr defaultRowHeight="14.4" x14ac:dyDescent="0.3"/>
  <cols>
    <col min="1" max="1" width="17.77734375" bestFit="1" customWidth="1"/>
    <col min="2" max="2" width="21.109375" bestFit="1" customWidth="1"/>
    <col min="3" max="3" width="22.5546875" bestFit="1" customWidth="1"/>
    <col min="4" max="4" width="17.44140625" bestFit="1" customWidth="1"/>
    <col min="5" max="5" width="10.5546875" bestFit="1" customWidth="1"/>
    <col min="6" max="6" width="15.44140625" bestFit="1" customWidth="1"/>
    <col min="7" max="7" width="19" bestFit="1" customWidth="1"/>
    <col min="8" max="8" width="13.21875" bestFit="1" customWidth="1"/>
  </cols>
  <sheetData>
    <row r="3" spans="1:8" ht="18" thickBot="1" x14ac:dyDescent="0.4">
      <c r="A3" s="12" t="s">
        <v>19</v>
      </c>
      <c r="B3" s="12" t="s">
        <v>18</v>
      </c>
      <c r="C3" s="8"/>
      <c r="D3" s="8"/>
      <c r="E3" s="8"/>
      <c r="F3" s="8"/>
      <c r="G3" s="8"/>
      <c r="H3" s="8"/>
    </row>
    <row r="4" spans="1:8" ht="18.600000000000001" thickTop="1" thickBot="1" x14ac:dyDescent="0.4">
      <c r="A4" s="14" t="s">
        <v>16</v>
      </c>
      <c r="B4" s="14" t="s">
        <v>1</v>
      </c>
      <c r="C4" s="14" t="s">
        <v>2</v>
      </c>
      <c r="D4" s="14" t="s">
        <v>3</v>
      </c>
      <c r="E4" s="14" t="s">
        <v>7</v>
      </c>
      <c r="F4" s="14" t="s">
        <v>4</v>
      </c>
      <c r="G4" s="14" t="s">
        <v>5</v>
      </c>
      <c r="H4" s="14" t="s">
        <v>17</v>
      </c>
    </row>
    <row r="5" spans="1:8" ht="15" thickTop="1" x14ac:dyDescent="0.3">
      <c r="A5" s="13" t="s">
        <v>0</v>
      </c>
      <c r="B5" s="13">
        <v>61229</v>
      </c>
      <c r="C5" s="13">
        <v>49592</v>
      </c>
      <c r="D5" s="13">
        <v>23082</v>
      </c>
      <c r="E5" s="13"/>
      <c r="F5" s="13">
        <v>13565</v>
      </c>
      <c r="G5" s="13">
        <v>32367</v>
      </c>
      <c r="H5" s="13">
        <v>179835</v>
      </c>
    </row>
    <row r="6" spans="1:8" x14ac:dyDescent="0.3">
      <c r="A6" s="13" t="s">
        <v>6</v>
      </c>
      <c r="B6" s="13"/>
      <c r="C6" s="13">
        <v>109499</v>
      </c>
      <c r="D6" s="13">
        <v>13044</v>
      </c>
      <c r="E6" s="13">
        <v>53029</v>
      </c>
      <c r="F6" s="13"/>
      <c r="G6" s="13"/>
      <c r="H6" s="13">
        <v>175572</v>
      </c>
    </row>
    <row r="7" spans="1:8" x14ac:dyDescent="0.3">
      <c r="A7" s="13" t="s">
        <v>8</v>
      </c>
      <c r="B7" s="13">
        <v>22760</v>
      </c>
      <c r="C7" s="13">
        <v>63041</v>
      </c>
      <c r="D7" s="13">
        <v>12585</v>
      </c>
      <c r="E7" s="13">
        <v>16065</v>
      </c>
      <c r="F7" s="13"/>
      <c r="G7" s="13">
        <v>26320</v>
      </c>
      <c r="H7" s="13">
        <v>140771</v>
      </c>
    </row>
    <row r="8" spans="1:8" x14ac:dyDescent="0.3">
      <c r="A8" s="13" t="s">
        <v>9</v>
      </c>
      <c r="B8" s="13"/>
      <c r="C8" s="13">
        <v>91425</v>
      </c>
      <c r="D8" s="13">
        <v>29032</v>
      </c>
      <c r="E8" s="13">
        <v>11743</v>
      </c>
      <c r="F8" s="13">
        <v>22289</v>
      </c>
      <c r="G8" s="13">
        <v>17149</v>
      </c>
      <c r="H8" s="13">
        <v>171638</v>
      </c>
    </row>
    <row r="9" spans="1:8" x14ac:dyDescent="0.3">
      <c r="A9" s="13" t="s">
        <v>10</v>
      </c>
      <c r="B9" s="13">
        <v>29050</v>
      </c>
      <c r="C9" s="13">
        <v>73938</v>
      </c>
      <c r="D9" s="13">
        <v>11360</v>
      </c>
      <c r="E9" s="13"/>
      <c r="F9" s="13">
        <v>23901</v>
      </c>
      <c r="G9" s="13">
        <v>13181</v>
      </c>
      <c r="H9" s="13">
        <v>151430</v>
      </c>
    </row>
    <row r="10" spans="1:8" x14ac:dyDescent="0.3">
      <c r="A10" s="13" t="s">
        <v>11</v>
      </c>
      <c r="B10" s="13"/>
      <c r="C10" s="13">
        <v>121469</v>
      </c>
      <c r="D10" s="13">
        <v>30778</v>
      </c>
      <c r="E10" s="13"/>
      <c r="F10" s="13">
        <v>13808</v>
      </c>
      <c r="G10" s="13">
        <v>62672</v>
      </c>
      <c r="H10" s="13">
        <v>228727</v>
      </c>
    </row>
    <row r="11" spans="1:8" x14ac:dyDescent="0.3">
      <c r="A11" s="15" t="s">
        <v>17</v>
      </c>
      <c r="B11" s="15">
        <v>113039</v>
      </c>
      <c r="C11" s="15">
        <v>508964</v>
      </c>
      <c r="D11" s="15">
        <v>119881</v>
      </c>
      <c r="E11" s="15">
        <v>80837</v>
      </c>
      <c r="F11" s="15">
        <v>73563</v>
      </c>
      <c r="G11" s="15">
        <v>151689</v>
      </c>
      <c r="H11" s="15">
        <v>1047973</v>
      </c>
    </row>
    <row r="17" spans="1:8" x14ac:dyDescent="0.3">
      <c r="A17" s="1"/>
      <c r="B17" s="3"/>
      <c r="C17" s="3"/>
      <c r="D17" s="3"/>
      <c r="E17" s="3"/>
      <c r="F17" s="3"/>
      <c r="G17" s="3"/>
      <c r="H17" s="3"/>
    </row>
    <row r="18" spans="1:8" x14ac:dyDescent="0.3">
      <c r="A18" s="4"/>
      <c r="B18" s="6"/>
      <c r="C18" s="6"/>
      <c r="D18" s="6"/>
      <c r="E18" s="2"/>
      <c r="F18" s="6"/>
      <c r="G18" s="6"/>
      <c r="H18" s="7"/>
    </row>
    <row r="19" spans="1:8" x14ac:dyDescent="0.3">
      <c r="A19" s="4"/>
      <c r="B19" s="2"/>
      <c r="C19" s="6"/>
      <c r="D19" s="6"/>
      <c r="E19" s="6"/>
      <c r="F19" s="2"/>
      <c r="G19" s="2"/>
      <c r="H19" s="7"/>
    </row>
    <row r="20" spans="1:8" x14ac:dyDescent="0.3">
      <c r="A20" s="4"/>
      <c r="B20" s="6"/>
      <c r="C20" s="6"/>
      <c r="D20" s="6"/>
      <c r="E20" s="6"/>
      <c r="F20" s="2"/>
      <c r="G20" s="6"/>
      <c r="H20" s="7"/>
    </row>
    <row r="21" spans="1:8" x14ac:dyDescent="0.3">
      <c r="A21" s="4"/>
      <c r="B21" s="2"/>
      <c r="C21" s="6"/>
      <c r="D21" s="6"/>
      <c r="E21" s="6"/>
      <c r="F21" s="6"/>
      <c r="G21" s="6"/>
      <c r="H21" s="7"/>
    </row>
    <row r="22" spans="1:8" x14ac:dyDescent="0.3">
      <c r="A22" s="4"/>
      <c r="B22" s="6"/>
      <c r="C22" s="6"/>
      <c r="D22" s="6"/>
      <c r="E22" s="2"/>
      <c r="F22" s="6"/>
      <c r="G22" s="6"/>
      <c r="H22" s="7"/>
    </row>
    <row r="23" spans="1:8" x14ac:dyDescent="0.3">
      <c r="A23" s="4"/>
      <c r="B23" s="2"/>
      <c r="C23" s="6"/>
      <c r="D23" s="6"/>
      <c r="E23" s="2"/>
      <c r="F23" s="6"/>
      <c r="G23" s="6"/>
      <c r="H23" s="7"/>
    </row>
    <row r="24" spans="1:8" x14ac:dyDescent="0.3">
      <c r="B24" s="5"/>
      <c r="C24" s="5"/>
      <c r="D24" s="5"/>
      <c r="E24" s="5"/>
      <c r="F24" s="5"/>
      <c r="G24" s="5"/>
      <c r="H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tabSelected="1" workbookViewId="0">
      <selection activeCell="D12" sqref="D12"/>
    </sheetView>
  </sheetViews>
  <sheetFormatPr defaultRowHeight="14.4" x14ac:dyDescent="0.3"/>
  <cols>
    <col min="1" max="1" width="11.109375" bestFit="1" customWidth="1"/>
    <col min="2" max="2" width="17.33203125" bestFit="1" customWidth="1"/>
    <col min="3" max="3" width="23.6640625" bestFit="1" customWidth="1"/>
    <col min="4" max="4" width="18" bestFit="1" customWidth="1"/>
    <col min="5" max="5" width="22" bestFit="1" customWidth="1"/>
    <col min="6" max="6" width="16.6640625" bestFit="1" customWidth="1"/>
  </cols>
  <sheetData>
    <row r="1" spans="1:14" ht="18" thickBot="1" x14ac:dyDescent="0.4">
      <c r="A1" s="8" t="s">
        <v>12</v>
      </c>
      <c r="B1" s="8" t="s">
        <v>20</v>
      </c>
      <c r="C1" s="8" t="s">
        <v>21</v>
      </c>
      <c r="D1" s="8" t="s">
        <v>22</v>
      </c>
      <c r="E1" s="8" t="s">
        <v>24</v>
      </c>
      <c r="F1" s="8" t="s">
        <v>23</v>
      </c>
    </row>
    <row r="2" spans="1:14" ht="15" thickTop="1" x14ac:dyDescent="0.3">
      <c r="A2" s="9" t="s">
        <v>0</v>
      </c>
      <c r="B2" s="9">
        <f>SUMIFS('City-Category Data'!$D$2:$D$28,'City-Category Data'!$A$2:$A$28,'KPI Summary'!A2)</f>
        <v>179835</v>
      </c>
      <c r="C2" s="9">
        <f>SUMIFS('City-Category Data'!$E$2:$E$28,'City-Category Data'!$A$2:$A$28,'KPI Summary'!A2)</f>
        <v>17</v>
      </c>
      <c r="D2" s="9">
        <f>SUMIFS('City-Category Data'!$C$2:$C$28,'City-Category Data'!$A$2:$A$28,'KPI Summary'!A2)</f>
        <v>107</v>
      </c>
      <c r="E2" s="10">
        <v>179835</v>
      </c>
      <c r="F2" s="9" t="str">
        <f>IF(B2=E2,"Yes","Check")</f>
        <v>Yes</v>
      </c>
    </row>
    <row r="3" spans="1:14" x14ac:dyDescent="0.3">
      <c r="A3" s="9" t="s">
        <v>6</v>
      </c>
      <c r="B3" s="9">
        <f>SUMIFS('City-Category Data'!$D$2:$D$28,'City-Category Data'!$A$2:$A$28,'KPI Summary'!A3)</f>
        <v>175572</v>
      </c>
      <c r="C3" s="9">
        <f>SUMIFS('City-Category Data'!$E$2:$E$28,'City-Category Data'!$A$2:$A$28,'KPI Summary'!A3)</f>
        <v>15</v>
      </c>
      <c r="D3" s="9">
        <f>SUMIFS('City-Category Data'!$C$2:$C$28,'City-Category Data'!$A$2:$A$28,'KPI Summary'!A3)</f>
        <v>113</v>
      </c>
      <c r="E3" s="10">
        <v>175572</v>
      </c>
      <c r="F3" s="9" t="str">
        <f t="shared" ref="F3:F7" si="0">IF(B3=E3,"Yes","Check")</f>
        <v>Yes</v>
      </c>
    </row>
    <row r="4" spans="1:14" x14ac:dyDescent="0.3">
      <c r="A4" s="9" t="s">
        <v>8</v>
      </c>
      <c r="B4" s="9">
        <f>SUMIFS('City-Category Data'!$D$2:$D$28,'City-Category Data'!$A$2:$A$28,'KPI Summary'!A4)</f>
        <v>140771</v>
      </c>
      <c r="C4" s="9">
        <f>SUMIFS('City-Category Data'!$E$2:$E$28,'City-Category Data'!$A$2:$A$28,'KPI Summary'!A4)</f>
        <v>6</v>
      </c>
      <c r="D4" s="9">
        <f>SUMIFS('City-Category Data'!$C$2:$C$28,'City-Category Data'!$A$2:$A$28,'KPI Summary'!A4)</f>
        <v>83</v>
      </c>
      <c r="E4" s="10">
        <v>140771</v>
      </c>
      <c r="F4" s="9" t="str">
        <f t="shared" si="0"/>
        <v>Yes</v>
      </c>
    </row>
    <row r="5" spans="1:14" x14ac:dyDescent="0.3">
      <c r="A5" s="9" t="s">
        <v>9</v>
      </c>
      <c r="B5" s="9">
        <f>SUMIFS('City-Category Data'!$D$2:$D$28,'City-Category Data'!$A$2:$A$28,'KPI Summary'!A5)</f>
        <v>171638</v>
      </c>
      <c r="C5" s="9">
        <f>SUMIFS('City-Category Data'!$E$2:$E$28,'City-Category Data'!$A$2:$A$28,'KPI Summary'!A5)</f>
        <v>14</v>
      </c>
      <c r="D5" s="9">
        <f>SUMIFS('City-Category Data'!$C$2:$C$28,'City-Category Data'!$A$2:$A$28,'KPI Summary'!A5)</f>
        <v>98</v>
      </c>
      <c r="E5" s="10">
        <v>171638</v>
      </c>
      <c r="F5" s="9" t="str">
        <f t="shared" si="0"/>
        <v>Yes</v>
      </c>
    </row>
    <row r="6" spans="1:14" x14ac:dyDescent="0.3">
      <c r="A6" s="9" t="s">
        <v>10</v>
      </c>
      <c r="B6" s="9">
        <f>SUMIFS('City-Category Data'!$D$2:$D$28,'City-Category Data'!$A$2:$A$28,'KPI Summary'!A6)</f>
        <v>151430</v>
      </c>
      <c r="C6" s="9">
        <f>SUMIFS('City-Category Data'!$E$2:$E$28,'City-Category Data'!$A$2:$A$28,'KPI Summary'!A6)</f>
        <v>13</v>
      </c>
      <c r="D6" s="9">
        <f>SUMIFS('City-Category Data'!$C$2:$C$28,'City-Category Data'!$A$2:$A$28,'KPI Summary'!A6)</f>
        <v>92</v>
      </c>
      <c r="E6" s="10">
        <v>151430</v>
      </c>
      <c r="F6" s="9" t="str">
        <f t="shared" si="0"/>
        <v>Yes</v>
      </c>
      <c r="J6" s="1"/>
      <c r="K6" s="3"/>
      <c r="L6" s="3"/>
      <c r="M6" s="3"/>
      <c r="N6" s="1"/>
    </row>
    <row r="7" spans="1:14" x14ac:dyDescent="0.3">
      <c r="A7" s="9" t="s">
        <v>11</v>
      </c>
      <c r="B7" s="9">
        <f>SUMIFS('City-Category Data'!$D$2:$D$28,'City-Category Data'!$A$2:$A$28,'KPI Summary'!A7)</f>
        <v>228727</v>
      </c>
      <c r="C7" s="9">
        <f>SUMIFS('City-Category Data'!$E$2:$E$28,'City-Category Data'!$A$2:$A$28,'KPI Summary'!A7)</f>
        <v>14</v>
      </c>
      <c r="D7" s="9">
        <f>SUMIFS('City-Category Data'!$C$2:$C$28,'City-Category Data'!$A$2:$A$28,'KPI Summary'!A7)</f>
        <v>107</v>
      </c>
      <c r="E7" s="10">
        <v>228727</v>
      </c>
      <c r="F7" s="9" t="str">
        <f t="shared" si="0"/>
        <v>Yes</v>
      </c>
      <c r="J7" s="4"/>
      <c r="K7" s="2"/>
      <c r="L7" s="2"/>
      <c r="M7" s="2"/>
      <c r="N7" s="4"/>
    </row>
    <row r="8" spans="1:14" x14ac:dyDescent="0.3">
      <c r="A8" s="11"/>
      <c r="B8" s="11">
        <f>SUM(B2:B7)</f>
        <v>1047973</v>
      </c>
      <c r="C8" s="11">
        <f t="shared" ref="C8:E8" si="1">SUM(C2:C7)</f>
        <v>79</v>
      </c>
      <c r="D8" s="11">
        <f>SUM(D2:D7)</f>
        <v>600</v>
      </c>
      <c r="E8" s="11">
        <f t="shared" si="1"/>
        <v>1047973</v>
      </c>
      <c r="F8" s="11"/>
      <c r="J8" s="4"/>
      <c r="K8" s="2"/>
      <c r="L8" s="2"/>
      <c r="M8" s="2"/>
      <c r="N8" s="4"/>
    </row>
    <row r="9" spans="1:14" x14ac:dyDescent="0.3">
      <c r="J9" s="4"/>
      <c r="K9" s="2"/>
      <c r="L9" s="2"/>
      <c r="M9" s="2"/>
      <c r="N9" s="4"/>
    </row>
    <row r="10" spans="1:14" x14ac:dyDescent="0.3">
      <c r="J10" s="4"/>
      <c r="K10" s="2"/>
      <c r="L10" s="2"/>
      <c r="M10" s="2"/>
      <c r="N10" s="4"/>
    </row>
    <row r="11" spans="1:14" x14ac:dyDescent="0.3">
      <c r="J11" s="4"/>
      <c r="K11" s="2"/>
      <c r="L11" s="2"/>
      <c r="M11" s="2"/>
      <c r="N11" s="4"/>
    </row>
    <row r="12" spans="1:14" x14ac:dyDescent="0.3">
      <c r="J12" s="4"/>
      <c r="K12" s="2"/>
      <c r="L12" s="2"/>
      <c r="M12" s="2"/>
      <c r="N12" s="4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City-Category Data</vt:lpstr>
      <vt:lpstr>Category Reference</vt:lpstr>
      <vt:lpstr>Pivot Revenue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Vinayashree Totaganti</cp:lastModifiedBy>
  <dcterms:created xsi:type="dcterms:W3CDTF">2026-10-02T12:03:57Z</dcterms:created>
  <dcterms:modified xsi:type="dcterms:W3CDTF">2026-10-04T17:23:53Z</dcterms:modified>
</cp:coreProperties>
</file>